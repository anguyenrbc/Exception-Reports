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uyen\Desktop\Alex Nguyen\Reports\Exception Reports\SpaceX\"/>
    </mc:Choice>
  </mc:AlternateContent>
  <xr:revisionPtr revIDLastSave="0" documentId="13_ncr:1_{0A9BD75F-CB9F-4C59-8622-0E9AE4EF1FB0}" xr6:coauthVersionLast="47" xr6:coauthVersionMax="47" xr10:uidLastSave="{00000000-0000-0000-0000-000000000000}"/>
  <bookViews>
    <workbookView xWindow="-120" yWindow="-120" windowWidth="29040" windowHeight="15720" xr2:uid="{ED8F8422-52C9-4F87-B75A-CD2CEC78C56B}"/>
  </bookViews>
  <sheets>
    <sheet name="Merged" sheetId="7" r:id="rId1"/>
  </sheets>
  <definedNames>
    <definedName name="ExternalData_1" localSheetId="0" hidden="1">Merged!$A$1:$AB$35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AB833-D9C9-4AFC-ACFC-D8B1F1F44486}" keepAlive="1" name="Query - LTA" description="Connection to the 'LTA' query in the workbook." type="5" refreshedVersion="8" background="1" saveData="1">
    <dbPr connection="Provider=Microsoft.Mashup.OleDb.1;Data Source=$Workbook$;Location=LTA;Extended Properties=&quot;&quot;" command="SELECT * FROM [LTA]"/>
  </connection>
  <connection id="2" xr16:uid="{E415B635-4DC8-4CC3-93CF-71BCBBE1774A}" keepAlive="1" name="Query - Merged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3" xr16:uid="{C2CA1C43-4B2A-4316-9F2F-4F90444BC871}" keepAlive="1" name="Query - OPDO" description="Connection to the 'OPDO' query in the workbook." type="5" refreshedVersion="0" background="1">
    <dbPr connection="Provider=Microsoft.Mashup.OleDb.1;Data Source=$Workbook$;Location=OPDO;Extended Properties=&quot;&quot;" command="SELECT * FROM [OPDO]"/>
  </connection>
  <connection id="4" xr16:uid="{05B3E1EC-B82F-4AFA-AD40-3FA7318D647D}" keepAlive="1" name="Query - Production Calendar" description="Connection to the 'Production Calendar' query in the workbook." type="5" refreshedVersion="0" background="1">
    <dbPr connection="Provider=Microsoft.Mashup.OleDb.1;Data Source=$Workbook$;Location=&quot;Production Calendar&quot;;Extended Properties=&quot;&quot;" command="SELECT * FROM [Production Calendar]"/>
  </connection>
  <connection id="5" xr16:uid="{BBBAD9D5-BD3D-4BB1-8C3E-B466D82781F5}" keepAlive="1" name="Query - SpaceX" description="Connection to the 'SpaceX' query in the workbook." type="5" refreshedVersion="0" background="1">
    <dbPr connection="Provider=Microsoft.Mashup.OleDb.1;Data Source=$Workbook$;Location=SpaceX;Extended Properties=&quot;&quot;" command="SELECT * FROM [SpaceX]"/>
  </connection>
</connections>
</file>

<file path=xl/sharedStrings.xml><?xml version="1.0" encoding="utf-8"?>
<sst xmlns="http://schemas.openxmlformats.org/spreadsheetml/2006/main" count="219" uniqueCount="164">
  <si>
    <t>MS14103-3</t>
  </si>
  <si>
    <t>0382603</t>
  </si>
  <si>
    <t>MS14103-5</t>
  </si>
  <si>
    <t>MS14103-6</t>
  </si>
  <si>
    <t>MS14103-8</t>
  </si>
  <si>
    <t>00250000-108</t>
  </si>
  <si>
    <t>00250000-208</t>
  </si>
  <si>
    <t>00250000-114</t>
  </si>
  <si>
    <t>0153114E100</t>
  </si>
  <si>
    <t>00250000-214</t>
  </si>
  <si>
    <t>1153114E100</t>
  </si>
  <si>
    <t>00250000-105</t>
  </si>
  <si>
    <t>0153105E100</t>
  </si>
  <si>
    <t>00240000-110</t>
  </si>
  <si>
    <t>0350610E101</t>
  </si>
  <si>
    <t>Part Number</t>
  </si>
  <si>
    <t>Order</t>
  </si>
  <si>
    <t>Customer Part Number</t>
  </si>
  <si>
    <t>Customer Order</t>
  </si>
  <si>
    <t>Order Book</t>
  </si>
  <si>
    <t>Customer Order Book</t>
  </si>
  <si>
    <t>Delta</t>
  </si>
  <si>
    <t>LTA End Date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</si>
  <si>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</si>
  <si>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</si>
  <si>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</si>
  <si>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</si>
  <si>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</si>
  <si>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</si>
  <si>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</si>
  <si>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</si>
  <si>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</si>
  <si>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</si>
  <si>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</si>
  <si>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3363297</t>
  </si>
  <si>
    <t>SC37812</t>
  </si>
  <si>
    <t>3554939</t>
  </si>
  <si>
    <t>3544196</t>
  </si>
  <si>
    <t>SC36150</t>
  </si>
  <si>
    <t>3483097</t>
  </si>
  <si>
    <t>SC38317</t>
  </si>
  <si>
    <t>3597340</t>
  </si>
  <si>
    <t>3597785</t>
  </si>
  <si>
    <t>SC38125</t>
  </si>
  <si>
    <t>3583374</t>
  </si>
  <si>
    <t>SC37238</t>
  </si>
  <si>
    <t>3525892</t>
  </si>
  <si>
    <t>SC37235</t>
  </si>
  <si>
    <t>3532369</t>
  </si>
  <si>
    <t>3581471</t>
  </si>
  <si>
    <t>0153105E101</t>
  </si>
  <si>
    <t>SC17413</t>
  </si>
  <si>
    <t>SX-00250000-105-01</t>
  </si>
  <si>
    <t>2521200</t>
  </si>
  <si>
    <t>0350520E101</t>
  </si>
  <si>
    <t>E1004-20</t>
  </si>
  <si>
    <t>2794450</t>
  </si>
  <si>
    <t>SC33609</t>
  </si>
  <si>
    <t>3321099</t>
  </si>
  <si>
    <t>1182012E107</t>
  </si>
  <si>
    <t>SC24525</t>
  </si>
  <si>
    <t>00325563-521</t>
  </si>
  <si>
    <t>2858910</t>
  </si>
  <si>
    <t>0382516DM</t>
  </si>
  <si>
    <t>SC32454</t>
  </si>
  <si>
    <t>SX-MS14101-16-D-01</t>
  </si>
  <si>
    <t>3259725</t>
  </si>
  <si>
    <t>SC32974</t>
  </si>
  <si>
    <t>3279643</t>
  </si>
  <si>
    <t>0382510DM</t>
  </si>
  <si>
    <t>SC32281</t>
  </si>
  <si>
    <t>SX-MS14101-10-D-01</t>
  </si>
  <si>
    <t>3265455</t>
  </si>
  <si>
    <t>0382605DM</t>
  </si>
  <si>
    <t>SC33721</t>
  </si>
  <si>
    <t>3337282</t>
  </si>
  <si>
    <t>SC38487</t>
  </si>
  <si>
    <t>SX-MS14103-5-D-01</t>
  </si>
  <si>
    <t>3611627</t>
  </si>
  <si>
    <t>1153116E100</t>
  </si>
  <si>
    <t>SC33884</t>
  </si>
  <si>
    <t>00250000-216</t>
  </si>
  <si>
    <t>3383368</t>
  </si>
  <si>
    <t>0153112E100</t>
  </si>
  <si>
    <t>SC35019</t>
  </si>
  <si>
    <t>00250000-112</t>
  </si>
  <si>
    <t>3414669</t>
  </si>
  <si>
    <t>1153112E100</t>
  </si>
  <si>
    <t>00250000-212</t>
  </si>
  <si>
    <t>0382308DM</t>
  </si>
  <si>
    <t>SC34354</t>
  </si>
  <si>
    <t>SX-MS14104-8-D-01</t>
  </si>
  <si>
    <t>3415060</t>
  </si>
  <si>
    <t>0382630E103</t>
  </si>
  <si>
    <t>SC35106</t>
  </si>
  <si>
    <t>03-826-30E-103</t>
  </si>
  <si>
    <t>3449911</t>
  </si>
  <si>
    <t>SC37960</t>
  </si>
  <si>
    <t>3583375</t>
  </si>
  <si>
    <t>0382514DM</t>
  </si>
  <si>
    <t>SC35257</t>
  </si>
  <si>
    <t>SX-MS14101-14-D-01</t>
  </si>
  <si>
    <t>3465252</t>
  </si>
  <si>
    <t>LTA Price</t>
  </si>
  <si>
    <t>LTA</t>
  </si>
  <si>
    <t>Yes</t>
  </si>
  <si>
    <t>No</t>
  </si>
  <si>
    <t>3097983</t>
  </si>
  <si>
    <t>01492550-009</t>
  </si>
  <si>
    <t>1885343</t>
  </si>
  <si>
    <t>MS14103-14</t>
  </si>
  <si>
    <t>3254139</t>
  </si>
  <si>
    <t>SX-MS14101-6-D-01</t>
  </si>
  <si>
    <t>Mar-26</t>
  </si>
  <si>
    <t>Mar-27</t>
  </si>
  <si>
    <t>Apr-27</t>
  </si>
  <si>
    <t>May-27</t>
  </si>
  <si>
    <t>Jun-27</t>
  </si>
  <si>
    <t>3173057</t>
  </si>
  <si>
    <t>3583391</t>
  </si>
  <si>
    <t>00250000-106</t>
  </si>
  <si>
    <t>Acknowledged</t>
  </si>
  <si>
    <t>CUST-ITEM-ORDER</t>
  </si>
  <si>
    <t>00250000-114 3483097</t>
  </si>
  <si>
    <t>00250000-114 3597340</t>
  </si>
  <si>
    <t>00250000-214 3483097</t>
  </si>
  <si>
    <t>00250000-105 3583374</t>
  </si>
  <si>
    <t>00240000-110 3525892</t>
  </si>
  <si>
    <t>00240000-110 3532369</t>
  </si>
  <si>
    <t>00250000-106 3583391</t>
  </si>
  <si>
    <t>00250000-108 3581471</t>
  </si>
  <si>
    <t>00250000-208 3581471</t>
  </si>
  <si>
    <t>00250000-214 3597785</t>
  </si>
  <si>
    <t>00325563-521 2858910</t>
  </si>
  <si>
    <t>01492550-009 3097983</t>
  </si>
  <si>
    <t>E1004-20 2794450</t>
  </si>
  <si>
    <t>MS14103-14 1885343</t>
  </si>
  <si>
    <t>MS14103-3 3363297</t>
  </si>
  <si>
    <t>MS14103-6 3544196</t>
  </si>
  <si>
    <t>MS14103-8 3544196</t>
  </si>
  <si>
    <t>SX-MS14101-10-D-01 3265455</t>
  </si>
  <si>
    <t>SX-MS14101-6-D-01 3254139</t>
  </si>
  <si>
    <t>00250000-112 3414669</t>
  </si>
  <si>
    <t>00250000-212 3414669</t>
  </si>
  <si>
    <t>00250000-216 3383368</t>
  </si>
  <si>
    <t>03-826-30E-103 3449911</t>
  </si>
  <si>
    <t>03-826-30E-103 3583375</t>
  </si>
  <si>
    <t>E1004-20 3321099</t>
  </si>
  <si>
    <t>MS14103-3 3554939</t>
  </si>
  <si>
    <t>MS14103-5 3337282</t>
  </si>
  <si>
    <t>SX-MS14103-5-D-01 3611627</t>
  </si>
  <si>
    <t>SX-00250000-105-01 2521200</t>
  </si>
  <si>
    <t>SX-MS14101-14-D-01 3465252</t>
  </si>
  <si>
    <t>SX-MS14101-16-D-01 3259725</t>
  </si>
  <si>
    <t>SX-MS14101-16-D-01 3279643</t>
  </si>
  <si>
    <t>SX-MS14104-8-D-01 3415060</t>
  </si>
  <si>
    <t>SC38318</t>
  </si>
  <si>
    <t>0153106E100</t>
  </si>
  <si>
    <t>SC38519</t>
  </si>
  <si>
    <t>SC24730</t>
  </si>
  <si>
    <t>SC33834</t>
  </si>
  <si>
    <t>0382606</t>
  </si>
  <si>
    <t>SC37026</t>
  </si>
  <si>
    <t>0382608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</si>
</sst>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44" fontId="0" fillId="2" borderId="0" xfId="2" applyFont="1" applyFill="1"/>
    <xf numFmtId="44" fontId="0" fillId="0" borderId="0" xfId="2" applyFont="1"/>
    <xf numFmtId="164" fontId="0" fillId="2" borderId="0" xfId="1" applyNumberFormat="1" applyFont="1" applyFill="1"/>
    <xf numFmtId="164" fontId="0" fillId="0" borderId="0" xfId="1" applyNumberFormat="1" applyFont="1"/>
    <xf numFmtId="0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12"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fill>
        <patternFill>
          <bgColor rgb="FFFFB9B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C2FE8E7-FF80-488E-9BE9-CA976643FDB4}" autoFormatId="16" applyNumberFormats="0" applyBorderFormats="0" applyFontFormats="0" applyPatternFormats="0" applyAlignmentFormats="0" applyWidthHeightFormats="0">
  <queryTableRefresh nextId="53">
    <queryTableFields count="28">
      <queryTableField id="49" name="CUST-ITEM-ORDER" tableColumnId="28"/>
      <queryTableField id="1" name="Part Number" tableColumnId="1"/>
      <queryTableField id="4" name="Customer Order" tableColumnId="4"/>
      <queryTableField id="47" name="Acknowledged" tableColumnId="27"/>
      <queryTableField id="3" name="Customer Part Number" tableColumnId="3"/>
      <queryTableField id="2" name="Order" tableColumnId="2"/>
      <queryTableField id="31" name="LTA" tableColumnId="10"/>
      <queryTableField id="8" name="LTA End Date" tableColumnId="8"/>
      <queryTableField id="22" name="LTA Price" tableColumnId="22"/>
      <queryTableField id="5" name="Order Book" tableColumnId="5"/>
      <queryTableField id="6" name="Customer Order Book" tableColumnId="6"/>
      <queryTableField id="7" name="Delta" tableColumnId="7"/>
      <queryTableField id="33" name="Mar-26" tableColumnId="9"/>
      <queryTableField id="11" name="Apr-26" tableColumnId="11"/>
      <queryTableField id="12" name="May-26" tableColumnId="12"/>
      <queryTableField id="13" name="Jun-26" tableColumnId="13"/>
      <queryTableField id="14" name="Jul-26" tableColumnId="14"/>
      <queryTableField id="15" name="Aug-26" tableColumnId="15"/>
      <queryTableField id="16" name="Sep-26" tableColumnId="16"/>
      <queryTableField id="17" name="Oct-26" tableColumnId="17"/>
      <queryTableField id="34" name="Mar-27" tableColumnId="23"/>
      <queryTableField id="35" name="Apr-27" tableColumnId="24"/>
      <queryTableField id="36" name="May-27" tableColumnId="25"/>
      <queryTableField id="37" name="Jun-27" tableColumnId="26"/>
      <queryTableField id="18" name="Nov-26" tableColumnId="18"/>
      <queryTableField id="19" name="Dec-26" tableColumnId="19"/>
      <queryTableField id="20" name="Jan-27" tableColumnId="20"/>
      <queryTableField id="21" name="Feb-27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A05DB5-0FE7-4520-A961-8F2C43BE294D}" name="Merged" displayName="Merged" ref="A1:AB35" tableType="queryTable" totalsRowShown="0" headerRowDxfId="11">
  <autoFilter ref="A1:AB35" xr:uid="{41A05DB5-0FE7-4520-A961-8F2C43BE294D}"/>
  <sortState xmlns:xlrd2="http://schemas.microsoft.com/office/spreadsheetml/2017/richdata2" ref="A2:AB35">
    <sortCondition ref="B1:B35"/>
  </sortState>
  <tableColumns count="28">
    <tableColumn id="28" xr3:uid="{A08E5FB7-6C15-4A1C-ABE0-4975FDCEAEF5}" uniqueName="28" name="CUST-ITEM-ORDER" queryTableFieldId="49" dataDxfId="10"/>
    <tableColumn id="1" xr3:uid="{81696647-110F-4721-A87A-9DA2FD1FB30D}" uniqueName="1" name="Part Number" queryTableFieldId="1" dataDxfId="9"/>
    <tableColumn id="4" xr3:uid="{01783BDE-EC4F-4E59-BAF2-29229E21C378}" uniqueName="4" name="Customer Order" queryTableFieldId="4" dataDxfId="8"/>
    <tableColumn id="27" xr3:uid="{65CF6E2A-DC11-49EA-8E96-84F89A3D34FD}" uniqueName="27" name="Acknowledged" queryTableFieldId="47"/>
    <tableColumn id="3" xr3:uid="{3B86B045-6AD6-4FF2-9232-816E88FC6C61}" uniqueName="3" name="Customer Part Number" queryTableFieldId="3" dataDxfId="7"/>
    <tableColumn id="2" xr3:uid="{0D4261E0-B366-4910-A839-EE2CF1345BA7}" uniqueName="2" name="Order" queryTableFieldId="2" dataDxfId="6"/>
    <tableColumn id="10" xr3:uid="{56B1C8C5-702C-493F-BFE5-C4D33C949E40}" uniqueName="10" name="LTA" queryTableFieldId="31"/>
    <tableColumn id="8" xr3:uid="{BD229065-F5F8-414C-9CAD-1FEA100A8D50}" uniqueName="8" name="LTA End Date" queryTableFieldId="8" dataDxfId="4"/>
    <tableColumn id="22" xr3:uid="{35218445-EF53-4EF6-A93A-6349D3F6716C}" uniqueName="22" name="LTA Price" queryTableFieldId="22" dataDxfId="3" dataCellStyle="Currency"/>
    <tableColumn id="5" xr3:uid="{54BEEF5B-120E-49A6-B723-4369CADCA9D0}" uniqueName="5" name="Order Book" queryTableFieldId="5" dataDxfId="2" dataCellStyle="Comma"/>
    <tableColumn id="6" xr3:uid="{AB313EE1-EFE8-4480-8FA0-BF3E5486A117}" uniqueName="6" name="Customer Order Book" queryTableFieldId="6" dataDxfId="1" dataCellStyle="Comma"/>
    <tableColumn id="7" xr3:uid="{48CC7397-F936-42E5-B977-5E876CA7E4C9}" uniqueName="7" name="Delta" queryTableFieldId="7" dataDxfId="0" dataCellStyle="Comma"/>
    <tableColumn id="9" xr3:uid="{3A299916-3528-44CE-8027-99C5639A31B3}" uniqueName="9" name="Mar-26" queryTableFieldId="33"/>
    <tableColumn id="11" xr3:uid="{6523AA0D-AA4D-49CA-A707-F3D2DBF4B074}" uniqueName="11" name="Apr-26" queryTableFieldId="11"/>
    <tableColumn id="12" xr3:uid="{D3B6FD31-1132-4417-BF9F-B6B1F6CB5B9F}" uniqueName="12" name="May-26" queryTableFieldId="12"/>
    <tableColumn id="13" xr3:uid="{A2906831-2533-4B6F-94A4-0D4EDD14EA82}" uniqueName="13" name="Jun-26" queryTableFieldId="13"/>
    <tableColumn id="14" xr3:uid="{43548460-75C4-400E-BF50-0DC4E2FCDBD3}" uniqueName="14" name="Jul-26" queryTableFieldId="14"/>
    <tableColumn id="15" xr3:uid="{50301B46-4310-44A7-A248-1DAEFD3461A3}" uniqueName="15" name="Aug-26" queryTableFieldId="15"/>
    <tableColumn id="16" xr3:uid="{12711AE1-9789-43D2-A079-6B8101F3584B}" uniqueName="16" name="Sep-26" queryTableFieldId="16"/>
    <tableColumn id="17" xr3:uid="{6F5EEEAF-45FE-4C82-BBFA-C02363DC09AA}" uniqueName="17" name="Oct-26" queryTableFieldId="17"/>
    <tableColumn id="23" xr3:uid="{806E3802-F7EE-4621-A3FF-23318F7240CF}" uniqueName="23" name="Mar-27" queryTableFieldId="34"/>
    <tableColumn id="24" xr3:uid="{AF9457F5-47FD-476F-9CEC-526A0EBE07BA}" uniqueName="24" name="Apr-27" queryTableFieldId="35"/>
    <tableColumn id="25" xr3:uid="{223B4897-E4CE-427A-9239-19A27605CAFB}" uniqueName="25" name="May-27" queryTableFieldId="36"/>
    <tableColumn id="26" xr3:uid="{8B2A0536-D67B-4FE8-9C68-00C8AFE143ED}" uniqueName="26" name="Jun-27" queryTableFieldId="37"/>
    <tableColumn id="18" xr3:uid="{C924EFB1-C11F-484B-AAC0-AA3B8C32A54A}" uniqueName="18" name="Nov-26" queryTableFieldId="18"/>
    <tableColumn id="19" xr3:uid="{6563011E-AA6C-4F51-AF1B-282CC82F4E3C}" uniqueName="19" name="Dec-26" queryTableFieldId="19"/>
    <tableColumn id="20" xr3:uid="{1F38AEAE-53D7-4D5E-B5E4-1523F1FFCE64}" uniqueName="20" name="Jan-27" queryTableFieldId="20"/>
    <tableColumn id="21" xr3:uid="{F6603731-E830-4E4E-B9F3-158654DCB08F}" uniqueName="21" name="Feb-27" queryTableField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6510-CC7B-4AE0-B10E-117DEB949694}">
  <dimension ref="A1:AB35"/>
  <sheetViews>
    <sheetView tabSelected="1" topLeftCell="H10" workbookViewId="0">
      <selection activeCell="U24" sqref="U24"/>
    </sheetView>
  </sheetViews>
  <sheetFormatPr defaultRowHeight="15" x14ac:dyDescent="0.25"/>
  <cols>
    <col min="1" max="1" width="26.85546875" bestFit="1" customWidth="1"/>
    <col min="2" max="2" width="14.42578125" bestFit="1" customWidth="1"/>
    <col min="3" max="3" width="17.28515625" bestFit="1" customWidth="1"/>
    <col min="4" max="4" width="16.140625" bestFit="1" customWidth="1"/>
    <col min="5" max="5" width="23.7109375" bestFit="1" customWidth="1"/>
    <col min="6" max="6" width="8.28515625" bestFit="1" customWidth="1"/>
    <col min="7" max="7" width="6.28515625" style="4" bestFit="1" customWidth="1"/>
    <col min="8" max="8" width="14.42578125" style="6" bestFit="1" customWidth="1"/>
    <col min="9" max="9" width="12.5703125" style="6" bestFit="1" customWidth="1"/>
    <col min="10" max="10" width="14.5703125" bestFit="1" customWidth="1"/>
    <col min="11" max="11" width="23.85546875" bestFit="1" customWidth="1"/>
    <col min="12" max="12" width="7.85546875" bestFit="1" customWidth="1"/>
    <col min="13" max="13" width="9.42578125" bestFit="1" customWidth="1"/>
    <col min="14" max="14" width="9" bestFit="1" customWidth="1"/>
    <col min="15" max="15" width="9.5703125" bestFit="1" customWidth="1"/>
    <col min="16" max="16" width="9" bestFit="1" customWidth="1"/>
    <col min="17" max="17" width="8.42578125" bestFit="1" customWidth="1"/>
    <col min="18" max="18" width="9.28515625" bestFit="1" customWidth="1"/>
    <col min="19" max="19" width="9.140625" bestFit="1" customWidth="1"/>
    <col min="20" max="20" width="9" bestFit="1" customWidth="1"/>
    <col min="21" max="21" width="9.42578125" bestFit="1" customWidth="1"/>
    <col min="22" max="22" width="9" bestFit="1" customWidth="1"/>
    <col min="23" max="23" width="9.5703125" bestFit="1" customWidth="1"/>
    <col min="24" max="24" width="9" bestFit="1" customWidth="1"/>
    <col min="25" max="25" width="9.42578125" bestFit="1" customWidth="1"/>
    <col min="26" max="26" width="9.28515625" bestFit="1" customWidth="1"/>
    <col min="27" max="27" width="9" bestFit="1" customWidth="1"/>
    <col min="28" max="29" width="9.140625" customWidth="1"/>
    <col min="30" max="30" width="8.85546875" bestFit="1" customWidth="1"/>
    <col min="31" max="31" width="9.28515625" bestFit="1" customWidth="1"/>
  </cols>
  <sheetData>
    <row r="1" spans="1:28" x14ac:dyDescent="0.25">
      <c r="A1" t="s">
        <v>122</v>
      </c>
      <c r="B1" s="2" t="s">
        <v>15</v>
      </c>
      <c r="C1" s="2" t="s">
        <v>18</v>
      </c>
      <c r="D1" t="s">
        <v>121</v>
      </c>
      <c r="E1" s="2" t="s">
        <v>17</v>
      </c>
      <c r="F1" s="2" t="s">
        <v>16</v>
      </c>
      <c r="G1" s="2" t="s">
        <v>104</v>
      </c>
      <c r="H1" s="2" t="s">
        <v>22</v>
      </c>
      <c r="I1" s="3" t="s">
        <v>103</v>
      </c>
      <c r="J1" s="5" t="s">
        <v>19</v>
      </c>
      <c r="K1" s="5" t="s">
        <v>20</v>
      </c>
      <c r="L1" s="2" t="s">
        <v>21</v>
      </c>
      <c r="M1" s="2" t="s">
        <v>113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114</v>
      </c>
      <c r="V1" s="2" t="s">
        <v>115</v>
      </c>
      <c r="W1" s="2" t="s">
        <v>116</v>
      </c>
      <c r="X1" s="2" t="s">
        <v>117</v>
      </c>
      <c r="Y1" s="2" t="s">
        <v>30</v>
      </c>
      <c r="Z1" s="2" t="s">
        <v>31</v>
      </c>
      <c r="AA1" s="2" t="s">
        <v>32</v>
      </c>
      <c r="AB1" s="2" t="s">
        <v>33</v>
      </c>
    </row>
    <row r="2" spans="1:28" x14ac:dyDescent="0.25">
      <c r="A2" t="s">
        <v>126</v>
      </c>
      <c r="B2" t="s">
        <v>12</v>
      </c>
      <c r="C2" t="s">
        <v>44</v>
      </c>
      <c r="D2" t="b">
        <v>1</v>
      </c>
      <c r="E2" t="s">
        <v>11</v>
      </c>
      <c r="F2" t="s">
        <v>43</v>
      </c>
      <c r="G2" t="s">
        <v>105</v>
      </c>
      <c r="H2" s="1">
        <v>46387</v>
      </c>
      <c r="I2" s="4">
        <v>215.25</v>
      </c>
      <c r="J2" s="6">
        <v>50</v>
      </c>
      <c r="K2" s="6">
        <v>50</v>
      </c>
      <c r="L2" s="7">
        <v>0</v>
      </c>
      <c r="R2">
        <v>0</v>
      </c>
      <c r="Z2">
        <v>0</v>
      </c>
    </row>
    <row r="3" spans="1:28" x14ac:dyDescent="0.25">
      <c r="A3" t="s">
        <v>151</v>
      </c>
      <c r="B3" t="s">
        <v>50</v>
      </c>
      <c r="C3" t="s">
        <v>53</v>
      </c>
      <c r="D3" t="b">
        <v>0</v>
      </c>
      <c r="E3" t="s">
        <v>52</v>
      </c>
      <c r="F3" t="s">
        <v>51</v>
      </c>
      <c r="G3" t="s">
        <v>106</v>
      </c>
      <c r="H3" s="1"/>
      <c r="I3" s="4"/>
      <c r="J3" s="6">
        <v>28</v>
      </c>
      <c r="K3" s="6">
        <v>28</v>
      </c>
      <c r="L3" s="7">
        <v>0</v>
      </c>
      <c r="R3">
        <v>0</v>
      </c>
      <c r="V3">
        <v>0</v>
      </c>
    </row>
    <row r="4" spans="1:28" x14ac:dyDescent="0.25">
      <c r="A4" t="s">
        <v>129</v>
      </c>
      <c r="B4" t="s">
        <v>157</v>
      </c>
      <c r="C4" t="s">
        <v>119</v>
      </c>
      <c r="D4" t="b">
        <v>0</v>
      </c>
      <c r="E4" t="s">
        <v>120</v>
      </c>
      <c r="F4" t="s">
        <v>158</v>
      </c>
      <c r="G4" t="s">
        <v>105</v>
      </c>
      <c r="H4" s="1">
        <v>46387</v>
      </c>
      <c r="I4" s="4">
        <v>282.51</v>
      </c>
      <c r="J4" s="6">
        <v>50</v>
      </c>
      <c r="K4" s="6">
        <v>50</v>
      </c>
      <c r="L4" s="7">
        <v>0</v>
      </c>
      <c r="AB4">
        <v>50</v>
      </c>
    </row>
    <row r="5" spans="1:28" x14ac:dyDescent="0.25">
      <c r="A5" t="s">
        <v>142</v>
      </c>
      <c r="B5" t="s">
        <v>83</v>
      </c>
      <c r="C5" t="s">
        <v>86</v>
      </c>
      <c r="D5" t="b">
        <v>1</v>
      </c>
      <c r="E5" t="s">
        <v>85</v>
      </c>
      <c r="F5" t="s">
        <v>84</v>
      </c>
      <c r="G5" t="s">
        <v>106</v>
      </c>
      <c r="H5" s="1"/>
      <c r="I5" s="4"/>
      <c r="J5" s="6">
        <v>225</v>
      </c>
      <c r="K5" s="6">
        <v>225</v>
      </c>
      <c r="L5" s="7">
        <v>0</v>
      </c>
      <c r="O5">
        <v>0</v>
      </c>
      <c r="Q5">
        <v>0</v>
      </c>
      <c r="S5">
        <v>0</v>
      </c>
      <c r="Y5">
        <v>0</v>
      </c>
      <c r="AA5">
        <v>0</v>
      </c>
    </row>
    <row r="6" spans="1:28" x14ac:dyDescent="0.25">
      <c r="A6" t="s">
        <v>123</v>
      </c>
      <c r="B6" t="s">
        <v>8</v>
      </c>
      <c r="C6" t="s">
        <v>39</v>
      </c>
      <c r="D6" t="b">
        <v>1</v>
      </c>
      <c r="E6" t="s">
        <v>7</v>
      </c>
      <c r="F6" t="s">
        <v>38</v>
      </c>
      <c r="G6" t="s">
        <v>105</v>
      </c>
      <c r="H6" s="1">
        <v>46387</v>
      </c>
      <c r="I6" s="4">
        <v>936.92</v>
      </c>
      <c r="J6" s="6">
        <v>45</v>
      </c>
      <c r="K6" s="6">
        <v>45</v>
      </c>
      <c r="L6" s="7">
        <v>0</v>
      </c>
      <c r="Q6">
        <v>0</v>
      </c>
    </row>
    <row r="7" spans="1:28" x14ac:dyDescent="0.25">
      <c r="A7" t="s">
        <v>124</v>
      </c>
      <c r="B7" t="s">
        <v>8</v>
      </c>
      <c r="C7" t="s">
        <v>41</v>
      </c>
      <c r="D7" t="b">
        <v>1</v>
      </c>
      <c r="E7" t="s">
        <v>7</v>
      </c>
      <c r="F7" t="s">
        <v>40</v>
      </c>
      <c r="G7" t="s">
        <v>105</v>
      </c>
      <c r="H7" s="1">
        <v>46387</v>
      </c>
      <c r="I7" s="4">
        <v>936.92</v>
      </c>
      <c r="J7" s="6">
        <v>60</v>
      </c>
      <c r="K7" s="6">
        <v>60</v>
      </c>
      <c r="L7" s="7">
        <v>0</v>
      </c>
      <c r="R7">
        <v>0</v>
      </c>
      <c r="Z7">
        <v>0</v>
      </c>
    </row>
    <row r="8" spans="1:28" x14ac:dyDescent="0.25">
      <c r="A8" t="s">
        <v>135</v>
      </c>
      <c r="B8" t="s">
        <v>54</v>
      </c>
      <c r="C8" t="s">
        <v>56</v>
      </c>
      <c r="D8" t="b">
        <v>1</v>
      </c>
      <c r="E8" t="s">
        <v>55</v>
      </c>
      <c r="F8" t="s">
        <v>159</v>
      </c>
      <c r="G8" t="s">
        <v>106</v>
      </c>
      <c r="H8" s="1"/>
      <c r="I8" s="4"/>
      <c r="J8" s="6">
        <v>200</v>
      </c>
      <c r="K8" s="6">
        <v>200</v>
      </c>
      <c r="L8" s="7">
        <v>0</v>
      </c>
      <c r="O8">
        <v>-12</v>
      </c>
    </row>
    <row r="9" spans="1:28" x14ac:dyDescent="0.25">
      <c r="A9" t="s">
        <v>147</v>
      </c>
      <c r="B9" t="s">
        <v>54</v>
      </c>
      <c r="C9" t="s">
        <v>58</v>
      </c>
      <c r="D9" t="b">
        <v>1</v>
      </c>
      <c r="E9" t="s">
        <v>55</v>
      </c>
      <c r="F9" t="s">
        <v>57</v>
      </c>
      <c r="G9" t="s">
        <v>106</v>
      </c>
      <c r="H9" s="1"/>
      <c r="I9" s="4"/>
      <c r="J9" s="6">
        <v>480</v>
      </c>
      <c r="K9" s="6">
        <v>480</v>
      </c>
      <c r="L9" s="7">
        <v>0</v>
      </c>
      <c r="P9">
        <v>0</v>
      </c>
    </row>
    <row r="10" spans="1:28" x14ac:dyDescent="0.25">
      <c r="A10" t="s">
        <v>127</v>
      </c>
      <c r="B10" t="s">
        <v>14</v>
      </c>
      <c r="C10" t="s">
        <v>46</v>
      </c>
      <c r="D10" t="b">
        <v>1</v>
      </c>
      <c r="E10" t="s">
        <v>13</v>
      </c>
      <c r="F10" t="s">
        <v>45</v>
      </c>
      <c r="G10" t="s">
        <v>105</v>
      </c>
      <c r="H10" s="1">
        <v>46387</v>
      </c>
      <c r="I10" s="4">
        <v>123.95</v>
      </c>
      <c r="J10" s="6">
        <v>500</v>
      </c>
      <c r="K10" s="6">
        <v>500</v>
      </c>
      <c r="L10" s="7">
        <v>0</v>
      </c>
      <c r="S10">
        <v>0</v>
      </c>
      <c r="Z10">
        <v>0</v>
      </c>
    </row>
    <row r="11" spans="1:28" x14ac:dyDescent="0.25">
      <c r="A11" t="s">
        <v>128</v>
      </c>
      <c r="B11" t="s">
        <v>14</v>
      </c>
      <c r="C11" t="s">
        <v>48</v>
      </c>
      <c r="D11" t="b">
        <v>1</v>
      </c>
      <c r="E11" t="s">
        <v>13</v>
      </c>
      <c r="F11" t="s">
        <v>47</v>
      </c>
      <c r="G11" t="s">
        <v>105</v>
      </c>
      <c r="H11" s="1">
        <v>46387</v>
      </c>
      <c r="I11" s="4">
        <v>123.95</v>
      </c>
      <c r="J11" s="6">
        <v>500</v>
      </c>
      <c r="K11" s="6">
        <v>500</v>
      </c>
      <c r="L11" s="7">
        <v>0</v>
      </c>
      <c r="O11">
        <v>0</v>
      </c>
    </row>
    <row r="12" spans="1:28" x14ac:dyDescent="0.25">
      <c r="A12" t="s">
        <v>155</v>
      </c>
      <c r="B12" t="s">
        <v>89</v>
      </c>
      <c r="C12" t="s">
        <v>92</v>
      </c>
      <c r="D12" t="b">
        <v>1</v>
      </c>
      <c r="E12" t="s">
        <v>91</v>
      </c>
      <c r="F12" t="s">
        <v>90</v>
      </c>
      <c r="G12" t="s">
        <v>106</v>
      </c>
      <c r="H12" s="1"/>
      <c r="I12" s="4"/>
      <c r="J12" s="6">
        <v>200</v>
      </c>
      <c r="K12" s="6">
        <v>200</v>
      </c>
      <c r="L12" s="7">
        <v>0</v>
      </c>
      <c r="M12">
        <v>0</v>
      </c>
    </row>
    <row r="13" spans="1:28" x14ac:dyDescent="0.25">
      <c r="A13" t="s">
        <v>140</v>
      </c>
      <c r="B13" t="s">
        <v>69</v>
      </c>
      <c r="C13" t="s">
        <v>72</v>
      </c>
      <c r="D13" t="b">
        <v>1</v>
      </c>
      <c r="E13" t="s">
        <v>71</v>
      </c>
      <c r="F13" t="s">
        <v>70</v>
      </c>
      <c r="G13" t="s">
        <v>106</v>
      </c>
      <c r="H13" s="1"/>
      <c r="I13" s="4"/>
      <c r="J13" s="6">
        <v>700</v>
      </c>
      <c r="K13" s="6">
        <v>700</v>
      </c>
      <c r="L13" s="7">
        <v>0</v>
      </c>
      <c r="M13">
        <v>539</v>
      </c>
      <c r="N13">
        <v>-539</v>
      </c>
    </row>
    <row r="14" spans="1:28" x14ac:dyDescent="0.25">
      <c r="A14" t="s">
        <v>152</v>
      </c>
      <c r="B14" t="s">
        <v>99</v>
      </c>
      <c r="C14" t="s">
        <v>102</v>
      </c>
      <c r="D14" t="b">
        <v>1</v>
      </c>
      <c r="E14" t="s">
        <v>101</v>
      </c>
      <c r="F14" t="s">
        <v>100</v>
      </c>
      <c r="G14" t="s">
        <v>106</v>
      </c>
      <c r="H14" s="1"/>
      <c r="I14" s="4"/>
      <c r="J14" s="6">
        <v>250</v>
      </c>
      <c r="K14" s="6">
        <v>250</v>
      </c>
      <c r="L14" s="7">
        <v>0</v>
      </c>
      <c r="R14">
        <v>0</v>
      </c>
      <c r="AB14">
        <v>0</v>
      </c>
    </row>
    <row r="15" spans="1:28" x14ac:dyDescent="0.25">
      <c r="A15" t="s">
        <v>153</v>
      </c>
      <c r="B15" t="s">
        <v>63</v>
      </c>
      <c r="C15" t="s">
        <v>66</v>
      </c>
      <c r="D15" t="b">
        <v>1</v>
      </c>
      <c r="E15" t="s">
        <v>65</v>
      </c>
      <c r="F15" t="s">
        <v>64</v>
      </c>
      <c r="G15" t="s">
        <v>106</v>
      </c>
      <c r="H15" s="1"/>
      <c r="I15" s="4"/>
      <c r="J15" s="6">
        <v>200</v>
      </c>
      <c r="K15" s="6">
        <v>200</v>
      </c>
      <c r="L15" s="7">
        <v>0</v>
      </c>
      <c r="M15">
        <v>0</v>
      </c>
    </row>
    <row r="16" spans="1:28" x14ac:dyDescent="0.25">
      <c r="A16" t="s">
        <v>154</v>
      </c>
      <c r="B16" t="s">
        <v>63</v>
      </c>
      <c r="C16" t="s">
        <v>68</v>
      </c>
      <c r="D16" t="b">
        <v>1</v>
      </c>
      <c r="E16" t="s">
        <v>65</v>
      </c>
      <c r="F16" t="s">
        <v>67</v>
      </c>
      <c r="G16" t="s">
        <v>106</v>
      </c>
      <c r="H16" s="1"/>
      <c r="I16" s="4"/>
      <c r="J16" s="6">
        <v>50</v>
      </c>
      <c r="K16" s="6">
        <v>50</v>
      </c>
      <c r="L16" s="7">
        <v>0</v>
      </c>
      <c r="M16">
        <v>0</v>
      </c>
    </row>
    <row r="17" spans="1:28" x14ac:dyDescent="0.25">
      <c r="A17" t="s">
        <v>137</v>
      </c>
      <c r="B17" t="s">
        <v>1</v>
      </c>
      <c r="C17" t="s">
        <v>34</v>
      </c>
      <c r="D17" t="b">
        <v>0</v>
      </c>
      <c r="E17" t="s">
        <v>0</v>
      </c>
      <c r="F17" t="s">
        <v>160</v>
      </c>
      <c r="G17" t="s">
        <v>106</v>
      </c>
      <c r="H17" s="1"/>
      <c r="I17" s="4"/>
      <c r="J17" s="6">
        <v>9000</v>
      </c>
      <c r="K17" s="6">
        <v>9000</v>
      </c>
      <c r="L17" s="7">
        <v>0</v>
      </c>
      <c r="M17">
        <v>9000</v>
      </c>
      <c r="N17">
        <v>-9000</v>
      </c>
    </row>
    <row r="18" spans="1:28" x14ac:dyDescent="0.25">
      <c r="A18" t="s">
        <v>148</v>
      </c>
      <c r="B18" t="s">
        <v>1</v>
      </c>
      <c r="C18" t="s">
        <v>36</v>
      </c>
      <c r="D18" t="b">
        <v>1</v>
      </c>
      <c r="E18" t="s">
        <v>0</v>
      </c>
      <c r="F18" t="s">
        <v>35</v>
      </c>
      <c r="G18" t="s">
        <v>106</v>
      </c>
      <c r="H18" s="1"/>
      <c r="I18" s="4"/>
      <c r="J18" s="6">
        <v>18543</v>
      </c>
      <c r="K18" s="6">
        <v>18543</v>
      </c>
      <c r="L18" s="7">
        <v>0</v>
      </c>
      <c r="P18">
        <v>0</v>
      </c>
      <c r="Q18">
        <v>0</v>
      </c>
      <c r="R18">
        <v>0</v>
      </c>
      <c r="S18">
        <v>0</v>
      </c>
    </row>
    <row r="19" spans="1:28" x14ac:dyDescent="0.25">
      <c r="A19" t="s">
        <v>149</v>
      </c>
      <c r="B19" t="s">
        <v>73</v>
      </c>
      <c r="C19" t="s">
        <v>75</v>
      </c>
      <c r="D19" t="b">
        <v>0</v>
      </c>
      <c r="E19" t="s">
        <v>2</v>
      </c>
      <c r="F19" t="s">
        <v>74</v>
      </c>
      <c r="G19" t="s">
        <v>106</v>
      </c>
      <c r="H19" s="1"/>
      <c r="I19" s="4"/>
      <c r="J19" s="6">
        <v>50000</v>
      </c>
      <c r="K19" s="6">
        <v>50000</v>
      </c>
      <c r="L19" s="7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150</v>
      </c>
      <c r="B20" t="s">
        <v>73</v>
      </c>
      <c r="C20" t="s">
        <v>78</v>
      </c>
      <c r="D20" t="b">
        <v>1</v>
      </c>
      <c r="E20" t="s">
        <v>77</v>
      </c>
      <c r="F20" t="s">
        <v>76</v>
      </c>
      <c r="G20" t="s">
        <v>106</v>
      </c>
      <c r="H20" s="1"/>
      <c r="I20" s="4"/>
      <c r="J20" s="6">
        <v>1238</v>
      </c>
      <c r="K20" s="6">
        <v>1238</v>
      </c>
      <c r="L20" s="7">
        <v>0</v>
      </c>
      <c r="M20">
        <v>0</v>
      </c>
      <c r="T20">
        <v>0</v>
      </c>
    </row>
    <row r="21" spans="1:28" x14ac:dyDescent="0.25">
      <c r="A21" t="s">
        <v>138</v>
      </c>
      <c r="B21" t="s">
        <v>161</v>
      </c>
      <c r="C21" t="s">
        <v>37</v>
      </c>
      <c r="D21" t="b">
        <v>1</v>
      </c>
      <c r="E21" t="s">
        <v>3</v>
      </c>
      <c r="F21" t="s">
        <v>162</v>
      </c>
      <c r="G21" t="s">
        <v>106</v>
      </c>
      <c r="H21" s="1"/>
      <c r="I21" s="4"/>
      <c r="J21" s="6">
        <v>80</v>
      </c>
      <c r="K21" s="6">
        <v>80</v>
      </c>
      <c r="L21" s="7">
        <v>0</v>
      </c>
      <c r="M21">
        <v>80</v>
      </c>
      <c r="N21">
        <v>-80</v>
      </c>
    </row>
    <row r="22" spans="1:28" x14ac:dyDescent="0.25">
      <c r="A22" t="s">
        <v>139</v>
      </c>
      <c r="B22" t="s">
        <v>163</v>
      </c>
      <c r="C22" t="s">
        <v>37</v>
      </c>
      <c r="D22" t="b">
        <v>1</v>
      </c>
      <c r="E22" t="s">
        <v>4</v>
      </c>
      <c r="F22" t="s">
        <v>162</v>
      </c>
      <c r="G22" t="s">
        <v>106</v>
      </c>
      <c r="H22" s="1"/>
      <c r="I22" s="4"/>
      <c r="J22" s="6">
        <v>80</v>
      </c>
      <c r="K22" s="6">
        <v>80</v>
      </c>
      <c r="L22" s="7">
        <v>0</v>
      </c>
      <c r="M22">
        <v>80</v>
      </c>
      <c r="N22">
        <v>-80</v>
      </c>
    </row>
    <row r="23" spans="1:28" x14ac:dyDescent="0.25">
      <c r="A23" t="s">
        <v>145</v>
      </c>
      <c r="B23" t="s">
        <v>93</v>
      </c>
      <c r="C23" t="s">
        <v>96</v>
      </c>
      <c r="D23" t="b">
        <v>0</v>
      </c>
      <c r="E23" t="s">
        <v>95</v>
      </c>
      <c r="F23" t="s">
        <v>94</v>
      </c>
      <c r="G23" t="s">
        <v>106</v>
      </c>
      <c r="H23" s="1"/>
      <c r="I23" s="4"/>
      <c r="J23" s="6">
        <v>50</v>
      </c>
      <c r="K23" s="6">
        <v>50</v>
      </c>
      <c r="L23" s="7">
        <v>0</v>
      </c>
      <c r="Y23">
        <v>0</v>
      </c>
    </row>
    <row r="24" spans="1:28" x14ac:dyDescent="0.25">
      <c r="A24" t="s">
        <v>146</v>
      </c>
      <c r="B24" t="s">
        <v>93</v>
      </c>
      <c r="C24" t="s">
        <v>98</v>
      </c>
      <c r="D24" t="b">
        <v>1</v>
      </c>
      <c r="E24" t="s">
        <v>95</v>
      </c>
      <c r="F24" t="s">
        <v>97</v>
      </c>
      <c r="G24" t="s">
        <v>106</v>
      </c>
      <c r="H24" s="1"/>
      <c r="I24" s="4"/>
      <c r="J24" s="6">
        <v>50</v>
      </c>
      <c r="K24" s="6">
        <v>50</v>
      </c>
      <c r="L24" s="7">
        <v>0</v>
      </c>
      <c r="AB24">
        <v>0</v>
      </c>
    </row>
    <row r="25" spans="1:28" x14ac:dyDescent="0.25">
      <c r="A25" t="s">
        <v>143</v>
      </c>
      <c r="B25" t="s">
        <v>87</v>
      </c>
      <c r="C25" t="s">
        <v>86</v>
      </c>
      <c r="D25" t="b">
        <v>1</v>
      </c>
      <c r="E25" t="s">
        <v>88</v>
      </c>
      <c r="F25" t="s">
        <v>84</v>
      </c>
      <c r="G25" t="s">
        <v>106</v>
      </c>
      <c r="H25" s="1"/>
      <c r="I25" s="4"/>
      <c r="J25" s="6">
        <v>225</v>
      </c>
      <c r="K25" s="6">
        <v>225</v>
      </c>
      <c r="L25" s="7">
        <v>0</v>
      </c>
      <c r="O25">
        <v>0</v>
      </c>
      <c r="Q25">
        <v>0</v>
      </c>
      <c r="S25">
        <v>0</v>
      </c>
      <c r="Y25">
        <v>0</v>
      </c>
      <c r="AA25">
        <v>0</v>
      </c>
    </row>
    <row r="26" spans="1:28" x14ac:dyDescent="0.25">
      <c r="A26" t="s">
        <v>125</v>
      </c>
      <c r="B26" t="s">
        <v>10</v>
      </c>
      <c r="C26" t="s">
        <v>39</v>
      </c>
      <c r="D26" t="b">
        <v>1</v>
      </c>
      <c r="E26" t="s">
        <v>9</v>
      </c>
      <c r="F26" t="s">
        <v>38</v>
      </c>
      <c r="G26" t="s">
        <v>105</v>
      </c>
      <c r="H26" s="1">
        <v>46387</v>
      </c>
      <c r="I26" s="4">
        <v>936.92</v>
      </c>
      <c r="J26" s="6">
        <v>45</v>
      </c>
      <c r="K26" s="6">
        <v>45</v>
      </c>
      <c r="L26" s="7">
        <v>0</v>
      </c>
      <c r="P26">
        <v>0</v>
      </c>
    </row>
    <row r="27" spans="1:28" x14ac:dyDescent="0.25">
      <c r="A27" t="s">
        <v>132</v>
      </c>
      <c r="B27" t="s">
        <v>10</v>
      </c>
      <c r="C27" t="s">
        <v>42</v>
      </c>
      <c r="D27" t="b">
        <v>0</v>
      </c>
      <c r="E27" t="s">
        <v>9</v>
      </c>
      <c r="F27" t="s">
        <v>156</v>
      </c>
      <c r="G27" t="s">
        <v>105</v>
      </c>
      <c r="H27" s="1">
        <v>46387</v>
      </c>
      <c r="I27" s="4">
        <v>936.92</v>
      </c>
      <c r="J27" s="6">
        <v>30</v>
      </c>
      <c r="K27" s="6">
        <v>60</v>
      </c>
      <c r="L27" s="7">
        <v>0</v>
      </c>
      <c r="R27">
        <v>30</v>
      </c>
      <c r="Z27">
        <v>30</v>
      </c>
    </row>
    <row r="28" spans="1:28" x14ac:dyDescent="0.25">
      <c r="A28" t="s">
        <v>144</v>
      </c>
      <c r="B28" t="s">
        <v>79</v>
      </c>
      <c r="C28" t="s">
        <v>82</v>
      </c>
      <c r="D28" t="b">
        <v>1</v>
      </c>
      <c r="E28" t="s">
        <v>81</v>
      </c>
      <c r="F28" t="s">
        <v>80</v>
      </c>
      <c r="G28" t="s">
        <v>106</v>
      </c>
      <c r="H28" s="1"/>
      <c r="I28" s="4"/>
      <c r="J28" s="6">
        <v>50</v>
      </c>
      <c r="K28" s="6">
        <v>50</v>
      </c>
      <c r="L28" s="7">
        <v>0</v>
      </c>
      <c r="R28">
        <v>0</v>
      </c>
    </row>
    <row r="29" spans="1:28" x14ac:dyDescent="0.25">
      <c r="A29" t="s">
        <v>133</v>
      </c>
      <c r="B29" t="s">
        <v>59</v>
      </c>
      <c r="C29" t="s">
        <v>62</v>
      </c>
      <c r="D29" t="b">
        <v>1</v>
      </c>
      <c r="E29" t="s">
        <v>61</v>
      </c>
      <c r="F29" t="s">
        <v>60</v>
      </c>
      <c r="G29" t="s">
        <v>106</v>
      </c>
      <c r="H29" s="1"/>
      <c r="I29" s="4"/>
      <c r="J29" s="6">
        <v>100</v>
      </c>
      <c r="K29" s="6">
        <v>100</v>
      </c>
      <c r="L29" s="7">
        <v>0</v>
      </c>
      <c r="M29">
        <v>-50</v>
      </c>
      <c r="Y29">
        <v>0</v>
      </c>
    </row>
    <row r="30" spans="1:28" x14ac:dyDescent="0.25">
      <c r="A30" t="s">
        <v>136</v>
      </c>
      <c r="C30" t="s">
        <v>109</v>
      </c>
      <c r="D30" t="b">
        <v>1</v>
      </c>
      <c r="E30" t="s">
        <v>110</v>
      </c>
      <c r="G30" t="s">
        <v>106</v>
      </c>
      <c r="H30" s="1"/>
      <c r="I30" s="4"/>
      <c r="J30" s="6">
        <v>0</v>
      </c>
      <c r="K30" s="6">
        <v>75</v>
      </c>
      <c r="L30" s="7">
        <v>-75</v>
      </c>
    </row>
    <row r="31" spans="1:28" x14ac:dyDescent="0.25">
      <c r="A31" t="s">
        <v>134</v>
      </c>
      <c r="C31" t="s">
        <v>107</v>
      </c>
      <c r="D31" t="b">
        <v>1</v>
      </c>
      <c r="E31" t="s">
        <v>108</v>
      </c>
      <c r="G31" t="s">
        <v>106</v>
      </c>
      <c r="H31" s="1"/>
      <c r="I31" s="4"/>
      <c r="J31" s="6">
        <v>0</v>
      </c>
      <c r="K31" s="6">
        <v>1</v>
      </c>
      <c r="L31" s="7">
        <v>-1</v>
      </c>
    </row>
    <row r="32" spans="1:28" x14ac:dyDescent="0.25">
      <c r="A32" t="s">
        <v>118</v>
      </c>
      <c r="C32" t="s">
        <v>118</v>
      </c>
      <c r="D32" t="b">
        <v>1</v>
      </c>
      <c r="G32" t="s">
        <v>106</v>
      </c>
      <c r="H32" s="1"/>
      <c r="I32" s="4"/>
      <c r="J32" s="6">
        <v>0</v>
      </c>
      <c r="K32" s="6">
        <v>1</v>
      </c>
      <c r="L32" s="7">
        <v>-1</v>
      </c>
    </row>
    <row r="33" spans="1:18" x14ac:dyDescent="0.25">
      <c r="A33" t="s">
        <v>141</v>
      </c>
      <c r="C33" t="s">
        <v>111</v>
      </c>
      <c r="D33" t="b">
        <v>1</v>
      </c>
      <c r="E33" t="s">
        <v>112</v>
      </c>
      <c r="G33" t="s">
        <v>106</v>
      </c>
      <c r="H33" s="1"/>
      <c r="I33" s="4"/>
      <c r="J33" s="6">
        <v>0</v>
      </c>
      <c r="K33" s="6">
        <v>700</v>
      </c>
      <c r="L33" s="7">
        <v>-700</v>
      </c>
      <c r="M33">
        <v>-700</v>
      </c>
    </row>
    <row r="34" spans="1:18" x14ac:dyDescent="0.25">
      <c r="A34" t="s">
        <v>130</v>
      </c>
      <c r="C34" t="s">
        <v>49</v>
      </c>
      <c r="D34" t="b">
        <v>0</v>
      </c>
      <c r="E34" t="s">
        <v>5</v>
      </c>
      <c r="G34" t="s">
        <v>106</v>
      </c>
      <c r="H34" s="1"/>
      <c r="I34" s="4"/>
      <c r="J34" s="6">
        <v>0</v>
      </c>
      <c r="K34" s="6">
        <v>285</v>
      </c>
      <c r="L34" s="7">
        <v>-285</v>
      </c>
      <c r="R34">
        <v>-285</v>
      </c>
    </row>
    <row r="35" spans="1:18" x14ac:dyDescent="0.25">
      <c r="A35" t="s">
        <v>131</v>
      </c>
      <c r="C35" t="s">
        <v>49</v>
      </c>
      <c r="D35" t="b">
        <v>0</v>
      </c>
      <c r="E35" t="s">
        <v>6</v>
      </c>
      <c r="G35" t="s">
        <v>106</v>
      </c>
      <c r="H35" s="1"/>
      <c r="I35" s="4"/>
      <c r="J35" s="6">
        <v>0</v>
      </c>
      <c r="K35" s="6">
        <v>285</v>
      </c>
      <c r="L35" s="7">
        <v>-285</v>
      </c>
      <c r="R35">
        <v>-285</v>
      </c>
    </row>
  </sheetData>
  <phoneticPr fontId="1" type="noConversion"/>
  <conditionalFormatting sqref="A2:AB35">
    <cfRule type="cellIs" dxfId="5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0D8F495-C1B1-45A5-9F27-F826EA29B80B}">
  <ds:schemaRefs/>
</ds:datastoreItem>
</file>

<file path=customXml/itemProps2.xml><?xml version="1.0" encoding="utf-8"?>
<ds:datastoreItem xmlns:ds="http://schemas.openxmlformats.org/officeDocument/2006/customXml" ds:itemID="{3A998B6A-9774-4926-948F-B6199D6E78C5}">
  <ds:schemaRefs/>
</ds:datastoreItem>
</file>

<file path=customXml/itemProps3.xml><?xml version="1.0" encoding="utf-8"?>
<ds:datastoreItem xmlns:ds="http://schemas.openxmlformats.org/officeDocument/2006/customXml" ds:itemID="{8575514C-5164-4534-98D5-738BABE713E4}">
  <ds:schemaRefs/>
</ds:datastoreItem>
</file>

<file path=customXml/itemProps4.xml><?xml version="1.0" encoding="utf-8"?>
<ds:datastoreItem xmlns:ds="http://schemas.openxmlformats.org/officeDocument/2006/customXml" ds:itemID="{E8CC7BC5-8BE5-4C7F-BFE1-3DBEB912AEA3}">
  <ds:schemaRefs/>
</ds:datastoreItem>
</file>

<file path=customXml/itemProps5.xml><?xml version="1.0" encoding="utf-8"?>
<ds:datastoreItem xmlns:ds="http://schemas.openxmlformats.org/officeDocument/2006/customXml" ds:itemID="{47460C1A-D95F-4F7F-BB7D-B1029450B0C7}">
  <ds:schemaRefs/>
</ds:datastoreItem>
</file>

<file path=customXml/itemProps6.xml><?xml version="1.0" encoding="utf-8"?>
<ds:datastoreItem xmlns:ds="http://schemas.openxmlformats.org/officeDocument/2006/customXml" ds:itemID="{69EA748F-6D3C-4EF9-A85B-AA70B33E1EBE}">
  <ds:schemaRefs/>
</ds:datastoreItem>
</file>

<file path=customXml/itemProps7.xml><?xml version="1.0" encoding="utf-8"?>
<ds:datastoreItem xmlns:ds="http://schemas.openxmlformats.org/officeDocument/2006/customXml" ds:itemID="{97CF6728-6B75-4C11-995C-AA22A7225ECA}">
  <ds:schemaRefs/>
</ds:datastoreItem>
</file>

<file path=customXml/itemProps8.xml><?xml version="1.0" encoding="utf-8"?>
<ds:datastoreItem xmlns:ds="http://schemas.openxmlformats.org/officeDocument/2006/customXml" ds:itemID="{C5ACFEDA-833B-4BE9-845C-FA1C01E286F3}">
  <ds:schemaRefs/>
</ds:datastoreItem>
</file>

<file path=customXml/itemProps9.xml><?xml version="1.0" encoding="utf-8"?>
<ds:datastoreItem xmlns:ds="http://schemas.openxmlformats.org/officeDocument/2006/customXml" ds:itemID="{5D0F712F-E34B-4706-95E4-8D9F0B3423C5}">
  <ds:schemaRefs/>
</ds:datastoreItem>
</file>

<file path=customXml/itemProps10.xml><?xml version="1.0" encoding="utf-8"?>
<ds:datastoreItem xmlns:ds="http://schemas.openxmlformats.org/officeDocument/2006/customXml" ds:itemID="{757F7B85-6AE3-4605-924F-FBD5612911A1}">
  <ds:schemaRefs/>
</ds:datastoreItem>
</file>

<file path=customXml/itemProps11.xml><?xml version="1.0" encoding="utf-8"?>
<ds:datastoreItem xmlns:ds="http://schemas.openxmlformats.org/officeDocument/2006/customXml" ds:itemID="{D51BEA08-D236-49B6-8758-B9EBF6B645D0}">
  <ds:schemaRefs/>
</ds:datastoreItem>
</file>

<file path=customXml/itemProps12.xml><?xml version="1.0" encoding="utf-8"?>
<ds:datastoreItem xmlns:ds="http://schemas.openxmlformats.org/officeDocument/2006/customXml" ds:itemID="{A3E4FEBF-CDEE-450A-915A-979817563E0F}">
  <ds:schemaRefs/>
</ds:datastoreItem>
</file>

<file path=customXml/itemProps13.xml><?xml version="1.0" encoding="utf-8"?>
<ds:datastoreItem xmlns:ds="http://schemas.openxmlformats.org/officeDocument/2006/customXml" ds:itemID="{0298A390-5091-42A4-8E22-24A2249789F0}">
  <ds:schemaRefs/>
</ds:datastoreItem>
</file>

<file path=customXml/itemProps14.xml><?xml version="1.0" encoding="utf-8"?>
<ds:datastoreItem xmlns:ds="http://schemas.openxmlformats.org/officeDocument/2006/customXml" ds:itemID="{D7149DE9-0C31-4ADC-A537-AA08019AE032}">
  <ds:schemaRefs/>
</ds:datastoreItem>
</file>

<file path=customXml/itemProps15.xml><?xml version="1.0" encoding="utf-8"?>
<ds:datastoreItem xmlns:ds="http://schemas.openxmlformats.org/officeDocument/2006/customXml" ds:itemID="{6FE60B26-8A2A-4184-88EF-6CEE1AEF350E}">
  <ds:schemaRefs/>
</ds:datastoreItem>
</file>

<file path=customXml/itemProps16.xml><?xml version="1.0" encoding="utf-8"?>
<ds:datastoreItem xmlns:ds="http://schemas.openxmlformats.org/officeDocument/2006/customXml" ds:itemID="{A0A6CCDA-4F64-4B39-9045-B53E784DC316}">
  <ds:schemaRefs/>
</ds:datastoreItem>
</file>

<file path=customXml/itemProps17.xml><?xml version="1.0" encoding="utf-8"?>
<ds:datastoreItem xmlns:ds="http://schemas.openxmlformats.org/officeDocument/2006/customXml" ds:itemID="{AA5B5694-65FA-48EB-9D79-21DB5F09308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8d89af8-a616-445f-9514-221e7a97bae0}" enabled="1" method="Standard" siteId="{b62ae4e2-d68f-4f11-9643-f9ccf49460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Nguyen</dc:creator>
  <cp:lastModifiedBy>Alex Nguyen</cp:lastModifiedBy>
  <dcterms:created xsi:type="dcterms:W3CDTF">2026-02-23T23:43:36Z</dcterms:created>
  <dcterms:modified xsi:type="dcterms:W3CDTF">2026-03-03T23:09:33Z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d89af8-a616-445f-9514-221e7a97bae0_Enabled">
    <vt:lpwstr>true</vt:lpwstr>
  </property>
  <property fmtid="{D5CDD505-2E9C-101B-9397-08002B2CF9AE}" pid="3" name="MSIP_Label_e8d89af8-a616-445f-9514-221e7a97bae0_SetDate">
    <vt:lpwstr>2026-02-23T23:49:15Z</vt:lpwstr>
  </property>
  <property fmtid="{D5CDD505-2E9C-101B-9397-08002B2CF9AE}" pid="4" name="MSIP_Label_e8d89af8-a616-445f-9514-221e7a97bae0_Method">
    <vt:lpwstr>Standard</vt:lpwstr>
  </property>
  <property fmtid="{D5CDD505-2E9C-101B-9397-08002B2CF9AE}" pid="5" name="MSIP_Label_e8d89af8-a616-445f-9514-221e7a97bae0_Name">
    <vt:lpwstr>defa4170-0d19-0005-0004-bc88714345d2</vt:lpwstr>
  </property>
  <property fmtid="{D5CDD505-2E9C-101B-9397-08002B2CF9AE}" pid="6" name="MSIP_Label_e8d89af8-a616-445f-9514-221e7a97bae0_SiteId">
    <vt:lpwstr>b62ae4e2-d68f-4f11-9643-f9ccf49460e5</vt:lpwstr>
  </property>
  <property fmtid="{D5CDD505-2E9C-101B-9397-08002B2CF9AE}" pid="7" name="MSIP_Label_e8d89af8-a616-445f-9514-221e7a97bae0_ActionId">
    <vt:lpwstr>54ecbc7e-dde3-4e39-8573-a5f16e2d83b6</vt:lpwstr>
  </property>
  <property fmtid="{D5CDD505-2E9C-101B-9397-08002B2CF9AE}" pid="8" name="MSIP_Label_e8d89af8-a616-445f-9514-221e7a97bae0_ContentBits">
    <vt:lpwstr>0</vt:lpwstr>
  </property>
  <property fmtid="{D5CDD505-2E9C-101B-9397-08002B2CF9AE}" pid="9" name="MSIP_Label_e8d89af8-a616-445f-9514-221e7a97bae0_Tag">
    <vt:lpwstr>10, 3, 0, 1</vt:lpwstr>
  </property>
</Properties>
</file>